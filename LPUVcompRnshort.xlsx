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uedemann/Desktop/"/>
    </mc:Choice>
  </mc:AlternateContent>
  <xr:revisionPtr revIDLastSave="0" documentId="13_ncr:1_{D2DD9FF6-3710-5944-A49C-809883749EA8}" xr6:coauthVersionLast="47" xr6:coauthVersionMax="47" xr10:uidLastSave="{00000000-0000-0000-0000-000000000000}"/>
  <bookViews>
    <workbookView xWindow="0" yWindow="760" windowWidth="29400" windowHeight="17320" xr2:uid="{8C93AA40-CFF1-7E40-93D1-99D04E317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5" i="1" l="1"/>
  <c r="C44" i="1"/>
  <c r="C43" i="1"/>
  <c r="C42" i="1"/>
  <c r="C26" i="1"/>
  <c r="C46" i="1"/>
  <c r="C24" i="1"/>
  <c r="C23" i="1"/>
  <c r="C22" i="1"/>
  <c r="C21" i="1"/>
  <c r="C5" i="1"/>
  <c r="C4" i="1"/>
  <c r="C6" i="1"/>
  <c r="C19" i="1"/>
  <c r="C18" i="1"/>
  <c r="C17" i="1"/>
  <c r="C16" i="1"/>
  <c r="C15" i="1"/>
  <c r="C14" i="1"/>
  <c r="C29" i="1"/>
  <c r="C28" i="1"/>
  <c r="C27" i="1"/>
  <c r="C25" i="1"/>
  <c r="C20" i="1"/>
  <c r="C10" i="1"/>
</calcChain>
</file>

<file path=xl/sharedStrings.xml><?xml version="1.0" encoding="utf-8"?>
<sst xmlns="http://schemas.openxmlformats.org/spreadsheetml/2006/main" count="123" uniqueCount="38">
  <si>
    <t>study</t>
  </si>
  <si>
    <t>virus</t>
  </si>
  <si>
    <t>rate</t>
  </si>
  <si>
    <t>phiX174</t>
  </si>
  <si>
    <t>MS2</t>
  </si>
  <si>
    <t>Qbeta</t>
  </si>
  <si>
    <t>Park et al. (2011)</t>
  </si>
  <si>
    <t>phi6</t>
  </si>
  <si>
    <t>This study</t>
  </si>
  <si>
    <t>FCV</t>
  </si>
  <si>
    <t>Bae &amp; Shin (2016)</t>
  </si>
  <si>
    <t>Calgua et al. (2014)</t>
  </si>
  <si>
    <t>de Roda Husman et al. (2004)</t>
  </si>
  <si>
    <t>Shin et al. (2005)</t>
  </si>
  <si>
    <t>Simonet &amp; Gantzer (2006)</t>
  </si>
  <si>
    <t>Ye et al. (2018)</t>
  </si>
  <si>
    <t>P22</t>
  </si>
  <si>
    <t>Nuanualsuwan et al. (2002)</t>
  </si>
  <si>
    <t>Thurston-Enriquez et al. (2003)</t>
  </si>
  <si>
    <t>Chang et al. (1985)</t>
  </si>
  <si>
    <t>Harris et al. (1987)</t>
  </si>
  <si>
    <t>Maier et al. (1995)</t>
  </si>
  <si>
    <t>Gerba et al. (2002)</t>
  </si>
  <si>
    <t>Battigelli et al. (1993)</t>
  </si>
  <si>
    <t>Oguma et al. (2016)</t>
  </si>
  <si>
    <t>Sholtes et al. (2016)</t>
  </si>
  <si>
    <t>Rattanakul &amp; Oguma (2018)</t>
  </si>
  <si>
    <t>Beck et al. (2017)</t>
  </si>
  <si>
    <t>poliovirus 1</t>
  </si>
  <si>
    <t>calicivirus</t>
  </si>
  <si>
    <t>murine norovirus</t>
  </si>
  <si>
    <t>Ryu et al. (2018)</t>
  </si>
  <si>
    <t>Meng &amp; Gerba (1996)</t>
  </si>
  <si>
    <t>coxsackievirus</t>
  </si>
  <si>
    <t>ADV</t>
  </si>
  <si>
    <t>ECV</t>
  </si>
  <si>
    <t>poliovirus</t>
  </si>
  <si>
    <t>enterovirus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</si>
</sst>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/>
    <xf numFmtId="0" fontId="0" fillId="0" borderId="0" xfId="0" applyFill="1"/>
    <xf numFmtId="0" fontId="1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6E34-EF8A-2242-810F-C2E1D2478CE7}">
  <dimension ref="A1:C61"/>
  <sheetViews>
    <sheetView tabSelected="1" zoomScale="150" workbookViewId="0">
      <selection activeCell="B12" sqref="B12"/>
    </sheetView>
  </sheetViews>
  <sheetFormatPr baseColWidth="10" defaultRowHeight="16" x14ac:dyDescent="0.2"/>
  <cols>
    <col min="1" max="1" width="26.1640625" style="2" bestFit="1" customWidth="1"/>
    <col min="2" max="2" width="26.83203125" style="2" bestFit="1" customWidth="1"/>
    <col min="3" max="16384" width="10.83203125" style="2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10</v>
      </c>
      <c r="B2" s="3" t="s">
        <v>3</v>
      </c>
      <c r="C2" s="3">
        <v>0.16980000000000001</v>
      </c>
    </row>
    <row r="3" spans="1:3" x14ac:dyDescent="0.2">
      <c r="A3" s="3" t="s">
        <v>10</v>
      </c>
      <c r="B3" s="3" t="s">
        <v>4</v>
      </c>
      <c r="C3" s="3">
        <v>5.5E-2</v>
      </c>
    </row>
    <row r="4" spans="1:3" x14ac:dyDescent="0.2">
      <c r="A4" s="3" t="s">
        <v>23</v>
      </c>
      <c r="B4" s="3" t="s">
        <v>33</v>
      </c>
      <c r="C4" s="3">
        <f>4/29</f>
        <v>0.13793103448275862</v>
      </c>
    </row>
    <row r="5" spans="1:3" x14ac:dyDescent="0.2">
      <c r="A5" s="3" t="s">
        <v>23</v>
      </c>
      <c r="B5" s="3" t="s">
        <v>4</v>
      </c>
      <c r="C5" s="2">
        <f>0.75/25</f>
        <v>0.03</v>
      </c>
    </row>
    <row r="6" spans="1:3" x14ac:dyDescent="0.2">
      <c r="A6" s="3" t="s">
        <v>23</v>
      </c>
      <c r="B6" s="3" t="s">
        <v>3</v>
      </c>
      <c r="C6" s="3">
        <f>4/9</f>
        <v>0.44444444444444442</v>
      </c>
    </row>
    <row r="7" spans="1:3" x14ac:dyDescent="0.2">
      <c r="A7" s="3" t="s">
        <v>27</v>
      </c>
      <c r="B7" s="3" t="s">
        <v>4</v>
      </c>
      <c r="C7" s="3">
        <v>5.6000000000000001E-2</v>
      </c>
    </row>
    <row r="8" spans="1:3" x14ac:dyDescent="0.2">
      <c r="A8" s="3" t="s">
        <v>11</v>
      </c>
      <c r="B8" s="3" t="s">
        <v>34</v>
      </c>
      <c r="C8" s="3">
        <v>1.428571E-2</v>
      </c>
    </row>
    <row r="9" spans="1:3" x14ac:dyDescent="0.2">
      <c r="A9" s="3" t="s">
        <v>11</v>
      </c>
      <c r="B9" s="3" t="s">
        <v>4</v>
      </c>
      <c r="C9" s="3">
        <v>3.8888890000000002E-2</v>
      </c>
    </row>
    <row r="10" spans="1:3" x14ac:dyDescent="0.2">
      <c r="A10" s="3" t="s">
        <v>19</v>
      </c>
      <c r="B10" s="3" t="s">
        <v>28</v>
      </c>
      <c r="C10" s="3">
        <f>3/30</f>
        <v>0.1</v>
      </c>
    </row>
    <row r="11" spans="1:3" x14ac:dyDescent="0.2">
      <c r="A11" s="3" t="s">
        <v>12</v>
      </c>
      <c r="B11" s="3" t="s">
        <v>9</v>
      </c>
      <c r="C11" s="3">
        <v>0.25</v>
      </c>
    </row>
    <row r="12" spans="1:3" x14ac:dyDescent="0.2">
      <c r="A12" s="3" t="s">
        <v>12</v>
      </c>
      <c r="B12" s="3" t="s">
        <v>29</v>
      </c>
      <c r="C12" s="3">
        <v>0.15</v>
      </c>
    </row>
    <row r="13" spans="1:3" x14ac:dyDescent="0.2">
      <c r="A13" s="3" t="s">
        <v>12</v>
      </c>
      <c r="B13" s="3" t="s">
        <v>4</v>
      </c>
      <c r="C13" s="3">
        <v>4.6153850000000003E-2</v>
      </c>
    </row>
    <row r="14" spans="1:3" x14ac:dyDescent="0.2">
      <c r="A14" s="3" t="s">
        <v>22</v>
      </c>
      <c r="B14" s="3" t="s">
        <v>35</v>
      </c>
      <c r="C14" s="3">
        <f>3/25</f>
        <v>0.12</v>
      </c>
    </row>
    <row r="15" spans="1:3" x14ac:dyDescent="0.2">
      <c r="A15" s="3" t="s">
        <v>22</v>
      </c>
      <c r="B15" s="3" t="s">
        <v>35</v>
      </c>
      <c r="C15" s="3">
        <f>3/20.5</f>
        <v>0.14634146341463414</v>
      </c>
    </row>
    <row r="16" spans="1:3" x14ac:dyDescent="0.2">
      <c r="A16" s="3" t="s">
        <v>22</v>
      </c>
      <c r="B16" s="3" t="s">
        <v>33</v>
      </c>
      <c r="C16" s="3">
        <f>3/24.5</f>
        <v>0.12244897959183673</v>
      </c>
    </row>
    <row r="17" spans="1:3" x14ac:dyDescent="0.2">
      <c r="A17" s="3" t="s">
        <v>22</v>
      </c>
      <c r="B17" s="3" t="s">
        <v>33</v>
      </c>
      <c r="C17" s="3">
        <f>3/27</f>
        <v>0.1111111111111111</v>
      </c>
    </row>
    <row r="18" spans="1:3" x14ac:dyDescent="0.2">
      <c r="A18" s="3" t="s">
        <v>22</v>
      </c>
      <c r="B18" s="3" t="s">
        <v>36</v>
      </c>
      <c r="C18" s="3">
        <f>3/23</f>
        <v>0.13043478260869565</v>
      </c>
    </row>
    <row r="19" spans="1:3" x14ac:dyDescent="0.2">
      <c r="A19" s="3" t="s">
        <v>22</v>
      </c>
      <c r="B19" s="3" t="s">
        <v>34</v>
      </c>
      <c r="C19" s="3">
        <f>3/119</f>
        <v>2.5210084033613446E-2</v>
      </c>
    </row>
    <row r="20" spans="1:3" x14ac:dyDescent="0.2">
      <c r="A20" s="3" t="s">
        <v>20</v>
      </c>
      <c r="B20" s="3" t="s">
        <v>36</v>
      </c>
      <c r="C20" s="3">
        <f>3/23.6</f>
        <v>0.1271186440677966</v>
      </c>
    </row>
    <row r="21" spans="1:3" x14ac:dyDescent="0.2">
      <c r="A21" s="3" t="s">
        <v>17</v>
      </c>
      <c r="B21" s="3" t="s">
        <v>9</v>
      </c>
      <c r="C21" s="3">
        <f>1/47.85</f>
        <v>2.0898641588296761E-2</v>
      </c>
    </row>
    <row r="22" spans="1:3" x14ac:dyDescent="0.2">
      <c r="A22" s="3" t="s">
        <v>17</v>
      </c>
      <c r="B22" s="3" t="s">
        <v>36</v>
      </c>
      <c r="C22" s="3">
        <f>1/24.1</f>
        <v>4.1493775933609957E-2</v>
      </c>
    </row>
    <row r="23" spans="1:3" x14ac:dyDescent="0.2">
      <c r="A23" s="3" t="s">
        <v>17</v>
      </c>
      <c r="B23" s="3" t="s">
        <v>4</v>
      </c>
      <c r="C23" s="3">
        <f>1/23.04</f>
        <v>4.3402777777777776E-2</v>
      </c>
    </row>
    <row r="24" spans="1:3" x14ac:dyDescent="0.2">
      <c r="A24" s="3" t="s">
        <v>17</v>
      </c>
      <c r="B24" s="3" t="s">
        <v>3</v>
      </c>
      <c r="C24" s="3">
        <f>1/15.48</f>
        <v>6.4599483204134361E-2</v>
      </c>
    </row>
    <row r="25" spans="1:3" x14ac:dyDescent="0.2">
      <c r="A25" s="3" t="s">
        <v>21</v>
      </c>
      <c r="B25" s="3" t="s">
        <v>36</v>
      </c>
      <c r="C25" s="3">
        <f>4/29.4</f>
        <v>0.1360544217687075</v>
      </c>
    </row>
    <row r="26" spans="1:3" x14ac:dyDescent="0.2">
      <c r="A26" s="3" t="s">
        <v>32</v>
      </c>
      <c r="B26" s="3" t="s">
        <v>34</v>
      </c>
      <c r="C26" s="3">
        <f>1/30</f>
        <v>3.3333333333333333E-2</v>
      </c>
    </row>
    <row r="27" spans="1:3" x14ac:dyDescent="0.2">
      <c r="A27" s="3" t="s">
        <v>32</v>
      </c>
      <c r="B27" s="3" t="s">
        <v>34</v>
      </c>
      <c r="C27" s="3">
        <f>1/23.6</f>
        <v>4.2372881355932202E-2</v>
      </c>
    </row>
    <row r="28" spans="1:3" x14ac:dyDescent="0.2">
      <c r="A28" s="3" t="s">
        <v>32</v>
      </c>
      <c r="B28" s="3" t="s">
        <v>4</v>
      </c>
      <c r="C28" s="3">
        <f>1/14</f>
        <v>7.1428571428571425E-2</v>
      </c>
    </row>
    <row r="29" spans="1:3" x14ac:dyDescent="0.2">
      <c r="A29" s="3" t="s">
        <v>32</v>
      </c>
      <c r="B29" s="3" t="s">
        <v>36</v>
      </c>
      <c r="C29" s="3">
        <f>1/4.1</f>
        <v>0.24390243902439027</v>
      </c>
    </row>
    <row r="30" spans="1:3" x14ac:dyDescent="0.2">
      <c r="A30" s="3" t="s">
        <v>24</v>
      </c>
      <c r="B30" s="3" t="s">
        <v>4</v>
      </c>
      <c r="C30" s="3">
        <v>4.1000000000000002E-2</v>
      </c>
    </row>
    <row r="31" spans="1:3" x14ac:dyDescent="0.2">
      <c r="A31" s="3" t="s">
        <v>24</v>
      </c>
      <c r="B31" s="3" t="s">
        <v>5</v>
      </c>
      <c r="C31" s="3">
        <v>8.5999999999999993E-2</v>
      </c>
    </row>
    <row r="32" spans="1:3" x14ac:dyDescent="0.2">
      <c r="A32" s="3" t="s">
        <v>24</v>
      </c>
      <c r="B32" s="3" t="s">
        <v>34</v>
      </c>
      <c r="C32" s="3">
        <v>0.02</v>
      </c>
    </row>
    <row r="33" spans="1:3" x14ac:dyDescent="0.2">
      <c r="A33" s="3" t="s">
        <v>6</v>
      </c>
      <c r="B33" s="3" t="s">
        <v>4</v>
      </c>
      <c r="C33" s="3">
        <v>5.7000000000000002E-2</v>
      </c>
    </row>
    <row r="34" spans="1:3" x14ac:dyDescent="0.2">
      <c r="A34" s="3" t="s">
        <v>6</v>
      </c>
      <c r="B34" s="3" t="s">
        <v>9</v>
      </c>
      <c r="C34" s="3">
        <v>0.16</v>
      </c>
    </row>
    <row r="35" spans="1:3" x14ac:dyDescent="0.2">
      <c r="A35" s="3" t="s">
        <v>6</v>
      </c>
      <c r="B35" s="3" t="s">
        <v>35</v>
      </c>
      <c r="C35" s="3">
        <v>0.13500000000000001</v>
      </c>
    </row>
    <row r="36" spans="1:3" x14ac:dyDescent="0.2">
      <c r="A36" s="3" t="s">
        <v>6</v>
      </c>
      <c r="B36" s="3" t="s">
        <v>30</v>
      </c>
      <c r="C36" s="3">
        <v>0.13700000000000001</v>
      </c>
    </row>
    <row r="37" spans="1:3" x14ac:dyDescent="0.2">
      <c r="A37" s="4" t="s">
        <v>26</v>
      </c>
      <c r="B37" s="3" t="s">
        <v>5</v>
      </c>
      <c r="C37" s="3">
        <v>8.5000000000000006E-2</v>
      </c>
    </row>
    <row r="38" spans="1:3" x14ac:dyDescent="0.2">
      <c r="A38" s="3" t="s">
        <v>31</v>
      </c>
      <c r="B38" s="3" t="s">
        <v>33</v>
      </c>
      <c r="C38" s="3">
        <v>0.17269999999999999</v>
      </c>
    </row>
    <row r="39" spans="1:3" x14ac:dyDescent="0.2">
      <c r="A39" s="3" t="s">
        <v>31</v>
      </c>
      <c r="B39" s="3" t="s">
        <v>36</v>
      </c>
      <c r="C39" s="3">
        <v>0.1462</v>
      </c>
    </row>
    <row r="40" spans="1:3" x14ac:dyDescent="0.2">
      <c r="A40" s="3" t="s">
        <v>31</v>
      </c>
      <c r="B40" s="3" t="s">
        <v>35</v>
      </c>
      <c r="C40" s="3">
        <v>0.09</v>
      </c>
    </row>
    <row r="41" spans="1:3" x14ac:dyDescent="0.2">
      <c r="A41" s="3" t="s">
        <v>31</v>
      </c>
      <c r="B41" s="3" t="s">
        <v>37</v>
      </c>
      <c r="C41" s="3">
        <v>0.1079</v>
      </c>
    </row>
    <row r="42" spans="1:3" x14ac:dyDescent="0.2">
      <c r="A42" s="3" t="s">
        <v>13</v>
      </c>
      <c r="B42" s="3" t="s">
        <v>4</v>
      </c>
      <c r="C42" s="3">
        <f>AVERAGE(2.1/30, 3.5/60, 0.75/10)</f>
        <v>6.7777777777777784E-2</v>
      </c>
    </row>
    <row r="43" spans="1:3" x14ac:dyDescent="0.2">
      <c r="A43" s="3" t="s">
        <v>13</v>
      </c>
      <c r="B43" s="3" t="s">
        <v>34</v>
      </c>
      <c r="C43" s="3">
        <f>AVERAGE(0.165/30,2.3/60,4.25/120)</f>
        <v>2.6416666666666661E-2</v>
      </c>
    </row>
    <row r="44" spans="1:3" x14ac:dyDescent="0.2">
      <c r="A44" s="3" t="s">
        <v>13</v>
      </c>
      <c r="B44" s="3" t="s">
        <v>28</v>
      </c>
      <c r="C44" s="3">
        <f>3.6/30</f>
        <v>0.12000000000000001</v>
      </c>
    </row>
    <row r="45" spans="1:3" x14ac:dyDescent="0.2">
      <c r="A45" s="3" t="s">
        <v>13</v>
      </c>
      <c r="B45" s="3" t="s">
        <v>33</v>
      </c>
      <c r="C45" s="3">
        <f>AVERAGE(5.2/30, 1.35/10)</f>
        <v>0.15416666666666667</v>
      </c>
    </row>
    <row r="46" spans="1:3" x14ac:dyDescent="0.2">
      <c r="A46" s="3" t="s">
        <v>25</v>
      </c>
      <c r="B46" s="3" t="s">
        <v>4</v>
      </c>
      <c r="C46" s="3">
        <f>1/59.3</f>
        <v>1.6863406408094434E-2</v>
      </c>
    </row>
    <row r="47" spans="1:3" x14ac:dyDescent="0.2">
      <c r="A47" s="3" t="s">
        <v>14</v>
      </c>
      <c r="B47" s="3" t="s">
        <v>4</v>
      </c>
      <c r="C47" s="3">
        <v>3.8899999999999997E-2</v>
      </c>
    </row>
    <row r="48" spans="1:3" x14ac:dyDescent="0.2">
      <c r="A48" s="3" t="s">
        <v>14</v>
      </c>
      <c r="B48" s="3" t="s">
        <v>5</v>
      </c>
      <c r="C48" s="3">
        <v>5.9499999999999997E-2</v>
      </c>
    </row>
    <row r="49" spans="1:3" x14ac:dyDescent="0.2">
      <c r="A49" s="3" t="s">
        <v>14</v>
      </c>
      <c r="B49" s="3" t="s">
        <v>36</v>
      </c>
      <c r="C49" s="3">
        <v>0.1106</v>
      </c>
    </row>
    <row r="50" spans="1:3" x14ac:dyDescent="0.2">
      <c r="A50" s="3" t="s">
        <v>18</v>
      </c>
      <c r="B50" s="3" t="s">
        <v>34</v>
      </c>
      <c r="C50" s="3">
        <v>1.7100000000000001E-2</v>
      </c>
    </row>
    <row r="51" spans="1:3" x14ac:dyDescent="0.2">
      <c r="A51" s="3" t="s">
        <v>18</v>
      </c>
      <c r="B51" s="3" t="s">
        <v>4</v>
      </c>
      <c r="C51" s="2">
        <v>3.1E-2</v>
      </c>
    </row>
    <row r="52" spans="1:3" x14ac:dyDescent="0.2">
      <c r="A52" s="3" t="s">
        <v>18</v>
      </c>
      <c r="B52" s="3" t="s">
        <v>9</v>
      </c>
      <c r="C52" s="3">
        <v>0.1016</v>
      </c>
    </row>
    <row r="53" spans="1:3" x14ac:dyDescent="0.2">
      <c r="A53" s="3" t="s">
        <v>15</v>
      </c>
      <c r="B53" s="3" t="s">
        <v>7</v>
      </c>
      <c r="C53" s="3">
        <v>6.7000000000000004E-2</v>
      </c>
    </row>
    <row r="54" spans="1:3" x14ac:dyDescent="0.2">
      <c r="A54" s="3" t="s">
        <v>8</v>
      </c>
      <c r="B54" s="3" t="s">
        <v>34</v>
      </c>
      <c r="C54" s="3">
        <v>0.03</v>
      </c>
    </row>
    <row r="55" spans="1:3" x14ac:dyDescent="0.2">
      <c r="A55" s="3" t="s">
        <v>8</v>
      </c>
      <c r="B55" s="3" t="s">
        <v>35</v>
      </c>
      <c r="C55" s="3">
        <v>0.10100000000000001</v>
      </c>
    </row>
    <row r="56" spans="1:3" x14ac:dyDescent="0.2">
      <c r="A56" s="3" t="s">
        <v>8</v>
      </c>
      <c r="B56" s="3" t="s">
        <v>9</v>
      </c>
      <c r="C56" s="3">
        <v>0.13400000000000001</v>
      </c>
    </row>
    <row r="57" spans="1:3" x14ac:dyDescent="0.2">
      <c r="A57" s="3" t="s">
        <v>8</v>
      </c>
      <c r="B57" s="3" t="s">
        <v>4</v>
      </c>
      <c r="C57" s="3">
        <v>4.2999999999999997E-2</v>
      </c>
    </row>
    <row r="58" spans="1:3" x14ac:dyDescent="0.2">
      <c r="A58" s="3" t="s">
        <v>8</v>
      </c>
      <c r="B58" s="3" t="s">
        <v>16</v>
      </c>
      <c r="C58" s="3">
        <v>8.4000000000000005E-2</v>
      </c>
    </row>
    <row r="59" spans="1:3" x14ac:dyDescent="0.2">
      <c r="A59" s="3" t="s">
        <v>8</v>
      </c>
      <c r="B59" s="3" t="s">
        <v>7</v>
      </c>
      <c r="C59" s="3">
        <v>2.5000000000000001E-2</v>
      </c>
    </row>
    <row r="60" spans="1:3" x14ac:dyDescent="0.2">
      <c r="A60" s="3" t="s">
        <v>8</v>
      </c>
      <c r="B60" s="3" t="s">
        <v>3</v>
      </c>
      <c r="C60" s="3">
        <v>0.27300000000000002</v>
      </c>
    </row>
    <row r="61" spans="1:3" x14ac:dyDescent="0.2">
      <c r="A61" s="3" t="s">
        <v>8</v>
      </c>
      <c r="B61" s="3" t="s">
        <v>5</v>
      </c>
      <c r="C61" s="3">
        <v>8.1000000000000003E-2</v>
      </c>
    </row>
  </sheetData>
  <sortState xmlns:xlrd2="http://schemas.microsoft.com/office/spreadsheetml/2017/richdata2" ref="A2:C65">
    <sortCondition ref="B1:B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Juedemann</dc:creator>
  <cp:lastModifiedBy>Samantha Juedemann</cp:lastModifiedBy>
  <dcterms:created xsi:type="dcterms:W3CDTF">2026-07-30T17:06:27Z</dcterms:created>
  <dcterms:modified xsi:type="dcterms:W3CDTF">2026-08-18T17:25:48Z</dcterms:modified>
</cp:coreProperties>
</file>